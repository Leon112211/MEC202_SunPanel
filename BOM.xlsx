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LES\Projects\MEC202\"/>
    </mc:Choice>
  </mc:AlternateContent>
  <xr:revisionPtr revIDLastSave="0" documentId="13_ncr:1_{A8AFAA5E-39D3-40EA-BA3B-8D399D75687B}" xr6:coauthVersionLast="47" xr6:coauthVersionMax="47" xr10:uidLastSave="{00000000-0000-0000-0000-000000000000}"/>
  <bookViews>
    <workbookView xWindow="-120" yWindow="-120" windowWidth="38640" windowHeight="21120" xr2:uid="{4C355368-0098-4D56-92CA-07E48E6BBC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1" i="1" l="1"/>
  <c r="C39" i="1"/>
  <c r="C32" i="1"/>
  <c r="C21" i="1"/>
  <c r="C10" i="1"/>
  <c r="C6" i="1"/>
</calcChain>
</file>

<file path=xl/sharedStrings.xml><?xml version="1.0" encoding="utf-8"?>
<sst xmlns="http://schemas.openxmlformats.org/spreadsheetml/2006/main" count="35" uniqueCount="35">
  <si>
    <t>直线轴承</t>
    <phoneticPr fontId="1" type="noConversion"/>
  </si>
  <si>
    <t>物品</t>
    <phoneticPr fontId="1" type="noConversion"/>
  </si>
  <si>
    <t>价格</t>
    <phoneticPr fontId="1" type="noConversion"/>
  </si>
  <si>
    <t>光轴</t>
    <phoneticPr fontId="1" type="noConversion"/>
  </si>
  <si>
    <t>螺丝</t>
    <phoneticPr fontId="1" type="noConversion"/>
  </si>
  <si>
    <t>m3*8</t>
    <phoneticPr fontId="1" type="noConversion"/>
  </si>
  <si>
    <t>m3*14</t>
    <phoneticPr fontId="1" type="noConversion"/>
  </si>
  <si>
    <t>m3螺母</t>
    <phoneticPr fontId="1" type="noConversion"/>
  </si>
  <si>
    <t>m3*5</t>
    <phoneticPr fontId="1" type="noConversion"/>
  </si>
  <si>
    <t>m5*10</t>
    <phoneticPr fontId="1" type="noConversion"/>
  </si>
  <si>
    <t>m4*12</t>
    <phoneticPr fontId="1" type="noConversion"/>
  </si>
  <si>
    <t>m4*16</t>
    <phoneticPr fontId="1" type="noConversion"/>
  </si>
  <si>
    <t>同步带</t>
    <phoneticPr fontId="1" type="noConversion"/>
  </si>
  <si>
    <t>锤子</t>
    <phoneticPr fontId="1" type="noConversion"/>
  </si>
  <si>
    <t>m2*20圆柱销钉</t>
    <phoneticPr fontId="1" type="noConversion"/>
  </si>
  <si>
    <t>滚刷</t>
    <phoneticPr fontId="1" type="noConversion"/>
  </si>
  <si>
    <t>同步轮</t>
    <phoneticPr fontId="1" type="noConversion"/>
  </si>
  <si>
    <t>3D打印耗材</t>
    <phoneticPr fontId="1" type="noConversion"/>
  </si>
  <si>
    <t>PETG深蓝</t>
    <phoneticPr fontId="1" type="noConversion"/>
  </si>
  <si>
    <t>PETG黄色</t>
    <phoneticPr fontId="1" type="noConversion"/>
  </si>
  <si>
    <t>PLA Lite柠檬黄</t>
    <phoneticPr fontId="1" type="noConversion"/>
  </si>
  <si>
    <t>行程开关</t>
    <phoneticPr fontId="1" type="noConversion"/>
  </si>
  <si>
    <t>直流电机</t>
    <phoneticPr fontId="1" type="noConversion"/>
  </si>
  <si>
    <t>6V50转</t>
    <phoneticPr fontId="1" type="noConversion"/>
  </si>
  <si>
    <t>6V190转</t>
    <phoneticPr fontId="1" type="noConversion"/>
  </si>
  <si>
    <t>太阳能板</t>
    <phoneticPr fontId="1" type="noConversion"/>
  </si>
  <si>
    <t>18650电池组</t>
    <phoneticPr fontId="1" type="noConversion"/>
  </si>
  <si>
    <t>太阳能管理模块</t>
    <phoneticPr fontId="1" type="noConversion"/>
  </si>
  <si>
    <t>迷你面包板</t>
    <phoneticPr fontId="1" type="noConversion"/>
  </si>
  <si>
    <t>25T金属舵盘</t>
    <phoneticPr fontId="1" type="noConversion"/>
  </si>
  <si>
    <t>ESP32S3</t>
    <phoneticPr fontId="1" type="noConversion"/>
  </si>
  <si>
    <t>ESP32S3扩展板</t>
    <phoneticPr fontId="1" type="noConversion"/>
  </si>
  <si>
    <t>RDS31115舵机</t>
    <phoneticPr fontId="1" type="noConversion"/>
  </si>
  <si>
    <t>DS3218</t>
    <phoneticPr fontId="1" type="noConversion"/>
  </si>
  <si>
    <t>总价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</si>
</sst>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color rgb="FFFF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5121F-4F47-4E38-8926-421734493FCF}">
  <dimension ref="A1:D52"/>
  <sheetViews>
    <sheetView tabSelected="1" topLeftCell="A16" workbookViewId="0">
      <selection activeCell="G49" sqref="G49"/>
    </sheetView>
  </sheetViews>
  <sheetFormatPr defaultRowHeight="17.25" x14ac:dyDescent="0.2"/>
  <cols>
    <col min="1" max="16384" width="9" style="2"/>
  </cols>
  <sheetData>
    <row r="1" spans="1:4" x14ac:dyDescent="0.2">
      <c r="A1" s="3" t="s">
        <v>1</v>
      </c>
      <c r="B1" s="3"/>
      <c r="C1" s="3" t="s">
        <v>2</v>
      </c>
      <c r="D1" s="3"/>
    </row>
    <row r="2" spans="1:4" x14ac:dyDescent="0.2">
      <c r="A2" s="3"/>
      <c r="B2" s="3"/>
      <c r="C2" s="3"/>
      <c r="D2" s="3"/>
    </row>
    <row r="3" spans="1:4" x14ac:dyDescent="0.2">
      <c r="A3" s="1" t="s">
        <v>0</v>
      </c>
      <c r="B3" s="1"/>
      <c r="C3" s="1">
        <v>9.75</v>
      </c>
      <c r="D3" s="1"/>
    </row>
    <row r="4" spans="1:4" x14ac:dyDescent="0.2">
      <c r="A4" s="1"/>
      <c r="B4" s="1"/>
      <c r="C4" s="1">
        <v>13.2</v>
      </c>
      <c r="D4" s="1"/>
    </row>
    <row r="5" spans="1:4" x14ac:dyDescent="0.2">
      <c r="A5" s="1"/>
      <c r="B5" s="1"/>
      <c r="C5" s="1">
        <v>3.3</v>
      </c>
      <c r="D5" s="1"/>
    </row>
    <row r="6" spans="1:4" x14ac:dyDescent="0.2">
      <c r="A6" s="1"/>
      <c r="B6" s="1"/>
      <c r="C6" s="4">
        <f>C3+C4+C5</f>
        <v>26.25</v>
      </c>
      <c r="D6" s="4"/>
    </row>
    <row r="7" spans="1:4" x14ac:dyDescent="0.2">
      <c r="A7" s="1"/>
      <c r="B7" s="1"/>
      <c r="C7" s="4"/>
      <c r="D7" s="4"/>
    </row>
    <row r="8" spans="1:4" x14ac:dyDescent="0.2">
      <c r="A8" s="1" t="s">
        <v>3</v>
      </c>
      <c r="B8" s="1"/>
      <c r="C8" s="1">
        <v>10.6</v>
      </c>
      <c r="D8" s="1"/>
    </row>
    <row r="9" spans="1:4" x14ac:dyDescent="0.2">
      <c r="A9" s="1"/>
      <c r="B9" s="1"/>
      <c r="C9" s="1">
        <v>10.6</v>
      </c>
      <c r="D9" s="1"/>
    </row>
    <row r="10" spans="1:4" x14ac:dyDescent="0.2">
      <c r="A10" s="1"/>
      <c r="B10" s="1"/>
      <c r="C10" s="4">
        <f>C8+C9</f>
        <v>21.2</v>
      </c>
      <c r="D10" s="4"/>
    </row>
    <row r="11" spans="1:4" x14ac:dyDescent="0.2">
      <c r="A11" s="1"/>
      <c r="B11" s="1"/>
      <c r="C11" s="4"/>
      <c r="D11" s="4"/>
    </row>
    <row r="12" spans="1:4" x14ac:dyDescent="0.2">
      <c r="A12" s="1" t="s">
        <v>4</v>
      </c>
      <c r="B12" s="1"/>
      <c r="C12" s="1"/>
      <c r="D12" s="1"/>
    </row>
    <row r="13" spans="1:4" x14ac:dyDescent="0.2">
      <c r="A13" s="1" t="s">
        <v>5</v>
      </c>
      <c r="B13" s="1"/>
      <c r="C13" s="1">
        <v>0.56000000000000005</v>
      </c>
      <c r="D13" s="1"/>
    </row>
    <row r="14" spans="1:4" x14ac:dyDescent="0.2">
      <c r="A14" s="1" t="s">
        <v>6</v>
      </c>
      <c r="B14" s="1"/>
      <c r="C14" s="1">
        <v>0.96</v>
      </c>
      <c r="D14" s="1"/>
    </row>
    <row r="15" spans="1:4" x14ac:dyDescent="0.2">
      <c r="A15" s="1" t="s">
        <v>7</v>
      </c>
      <c r="B15" s="1"/>
      <c r="C15" s="1">
        <v>1.83</v>
      </c>
      <c r="D15" s="1"/>
    </row>
    <row r="16" spans="1:4" x14ac:dyDescent="0.2">
      <c r="A16" s="1" t="s">
        <v>8</v>
      </c>
      <c r="B16" s="1"/>
      <c r="C16" s="1">
        <v>0.83</v>
      </c>
      <c r="D16" s="1"/>
    </row>
    <row r="17" spans="1:4" x14ac:dyDescent="0.2">
      <c r="A17" s="1" t="s">
        <v>9</v>
      </c>
      <c r="B17" s="1"/>
      <c r="C17" s="1">
        <v>4.38</v>
      </c>
      <c r="D17" s="1"/>
    </row>
    <row r="18" spans="1:4" x14ac:dyDescent="0.2">
      <c r="A18" s="1" t="s">
        <v>10</v>
      </c>
      <c r="B18" s="1"/>
      <c r="C18" s="1">
        <v>1.21</v>
      </c>
      <c r="D18" s="1"/>
    </row>
    <row r="19" spans="1:4" x14ac:dyDescent="0.2">
      <c r="A19" s="1" t="s">
        <v>11</v>
      </c>
      <c r="B19" s="1"/>
      <c r="C19" s="1">
        <v>1.97</v>
      </c>
      <c r="D19" s="1"/>
    </row>
    <row r="20" spans="1:4" x14ac:dyDescent="0.2">
      <c r="A20" s="1" t="s">
        <v>14</v>
      </c>
      <c r="B20" s="1"/>
      <c r="C20" s="1">
        <v>2.1</v>
      </c>
      <c r="D20" s="1"/>
    </row>
    <row r="21" spans="1:4" x14ac:dyDescent="0.2">
      <c r="A21" s="1"/>
      <c r="B21" s="1"/>
      <c r="C21" s="4">
        <f>C13+C14+C15+C16+C17+C18+C19+C20</f>
        <v>13.84</v>
      </c>
      <c r="D21" s="4"/>
    </row>
    <row r="22" spans="1:4" x14ac:dyDescent="0.2">
      <c r="A22" s="1"/>
      <c r="B22" s="1"/>
      <c r="C22" s="5"/>
      <c r="D22" s="5"/>
    </row>
    <row r="23" spans="1:4" x14ac:dyDescent="0.2">
      <c r="A23" s="1" t="s">
        <v>12</v>
      </c>
      <c r="B23" s="1"/>
      <c r="C23" s="4">
        <v>6.86</v>
      </c>
      <c r="D23" s="4"/>
    </row>
    <row r="24" spans="1:4" x14ac:dyDescent="0.2">
      <c r="A24" s="1" t="s">
        <v>13</v>
      </c>
      <c r="B24" s="1"/>
      <c r="C24" s="4">
        <v>10.9</v>
      </c>
      <c r="D24" s="4"/>
    </row>
    <row r="25" spans="1:4" x14ac:dyDescent="0.2">
      <c r="A25" s="1" t="s">
        <v>15</v>
      </c>
      <c r="B25" s="1"/>
      <c r="C25" s="4">
        <v>41</v>
      </c>
      <c r="D25" s="4"/>
    </row>
    <row r="26" spans="1:4" x14ac:dyDescent="0.2">
      <c r="A26" s="1" t="s">
        <v>16</v>
      </c>
      <c r="B26" s="1"/>
      <c r="C26" s="4">
        <v>8.4</v>
      </c>
      <c r="D26" s="4"/>
    </row>
    <row r="27" spans="1:4" x14ac:dyDescent="0.2">
      <c r="A27" s="1"/>
      <c r="B27" s="1"/>
      <c r="C27" s="4"/>
      <c r="D27" s="4"/>
    </row>
    <row r="28" spans="1:4" x14ac:dyDescent="0.2">
      <c r="A28" s="1" t="s">
        <v>17</v>
      </c>
      <c r="B28" s="1"/>
      <c r="C28" s="1"/>
      <c r="D28" s="1"/>
    </row>
    <row r="29" spans="1:4" x14ac:dyDescent="0.2">
      <c r="A29" s="1" t="s">
        <v>18</v>
      </c>
      <c r="B29" s="1"/>
      <c r="C29" s="1">
        <v>22.9</v>
      </c>
      <c r="D29" s="1"/>
    </row>
    <row r="30" spans="1:4" x14ac:dyDescent="0.2">
      <c r="A30" s="1" t="s">
        <v>19</v>
      </c>
      <c r="B30" s="1"/>
      <c r="C30" s="1">
        <v>20.9</v>
      </c>
      <c r="D30" s="1"/>
    </row>
    <row r="31" spans="1:4" x14ac:dyDescent="0.2">
      <c r="A31" s="1" t="s">
        <v>20</v>
      </c>
      <c r="B31" s="1"/>
      <c r="C31" s="1">
        <v>33.9</v>
      </c>
      <c r="D31" s="1"/>
    </row>
    <row r="32" spans="1:4" x14ac:dyDescent="0.2">
      <c r="A32" s="1"/>
      <c r="B32" s="1"/>
      <c r="C32" s="4">
        <f>C29+C30+C31</f>
        <v>77.699999999999989</v>
      </c>
      <c r="D32" s="4"/>
    </row>
    <row r="33" spans="1:4" x14ac:dyDescent="0.2">
      <c r="A33" s="1"/>
      <c r="B33" s="1"/>
      <c r="C33" s="1"/>
      <c r="D33" s="1"/>
    </row>
    <row r="34" spans="1:4" x14ac:dyDescent="0.2">
      <c r="A34" s="1" t="s">
        <v>21</v>
      </c>
      <c r="B34" s="1"/>
      <c r="C34" s="4">
        <v>10.119999999999999</v>
      </c>
      <c r="D34" s="4"/>
    </row>
    <row r="35" spans="1:4" x14ac:dyDescent="0.2">
      <c r="A35" s="1"/>
      <c r="B35" s="1"/>
      <c r="C35" s="1"/>
      <c r="D35" s="1"/>
    </row>
    <row r="36" spans="1:4" x14ac:dyDescent="0.2">
      <c r="A36" s="1" t="s">
        <v>22</v>
      </c>
      <c r="B36" s="1"/>
      <c r="C36" s="1"/>
      <c r="D36" s="1"/>
    </row>
    <row r="37" spans="1:4" x14ac:dyDescent="0.2">
      <c r="A37" s="1" t="s">
        <v>23</v>
      </c>
      <c r="B37" s="1"/>
      <c r="C37" s="1">
        <v>13.37</v>
      </c>
      <c r="D37" s="1"/>
    </row>
    <row r="38" spans="1:4" x14ac:dyDescent="0.2">
      <c r="A38" s="1" t="s">
        <v>24</v>
      </c>
      <c r="B38" s="1"/>
      <c r="C38" s="1">
        <v>20.5</v>
      </c>
      <c r="D38" s="1"/>
    </row>
    <row r="39" spans="1:4" x14ac:dyDescent="0.2">
      <c r="A39" s="1"/>
      <c r="B39" s="1"/>
      <c r="C39" s="4">
        <f>C37+C38</f>
        <v>33.869999999999997</v>
      </c>
      <c r="D39" s="4"/>
    </row>
    <row r="40" spans="1:4" x14ac:dyDescent="0.2">
      <c r="A40" s="1"/>
      <c r="B40" s="1"/>
      <c r="C40" s="1"/>
      <c r="D40" s="1"/>
    </row>
    <row r="41" spans="1:4" x14ac:dyDescent="0.2">
      <c r="A41" s="1" t="s">
        <v>25</v>
      </c>
      <c r="B41" s="1"/>
      <c r="C41" s="4">
        <v>46.6</v>
      </c>
      <c r="D41" s="4"/>
    </row>
    <row r="42" spans="1:4" x14ac:dyDescent="0.2">
      <c r="A42" s="1" t="s">
        <v>26</v>
      </c>
      <c r="B42" s="1"/>
      <c r="C42" s="4">
        <v>20.059999999999999</v>
      </c>
      <c r="D42" s="4"/>
    </row>
    <row r="43" spans="1:4" x14ac:dyDescent="0.2">
      <c r="A43" s="1" t="s">
        <v>27</v>
      </c>
      <c r="B43" s="1"/>
      <c r="C43" s="4">
        <v>74</v>
      </c>
      <c r="D43" s="4"/>
    </row>
    <row r="44" spans="1:4" x14ac:dyDescent="0.2">
      <c r="A44" s="1" t="s">
        <v>28</v>
      </c>
      <c r="B44" s="1"/>
      <c r="C44" s="4">
        <v>1.6</v>
      </c>
      <c r="D44" s="4"/>
    </row>
    <row r="45" spans="1:4" x14ac:dyDescent="0.2">
      <c r="A45" s="1" t="s">
        <v>29</v>
      </c>
      <c r="B45" s="1"/>
      <c r="C45" s="4">
        <v>4.01</v>
      </c>
      <c r="D45" s="4"/>
    </row>
    <row r="46" spans="1:4" x14ac:dyDescent="0.2">
      <c r="A46" s="1" t="s">
        <v>30</v>
      </c>
      <c r="B46" s="1"/>
      <c r="C46" s="4">
        <v>34.979999999999997</v>
      </c>
      <c r="D46" s="4"/>
    </row>
    <row r="47" spans="1:4" x14ac:dyDescent="0.2">
      <c r="A47" s="1" t="s">
        <v>31</v>
      </c>
      <c r="B47" s="1"/>
      <c r="C47" s="4">
        <v>12.25</v>
      </c>
      <c r="D47" s="4"/>
    </row>
    <row r="48" spans="1:4" x14ac:dyDescent="0.2">
      <c r="A48" s="1" t="s">
        <v>32</v>
      </c>
      <c r="B48" s="1"/>
      <c r="C48" s="4">
        <v>60</v>
      </c>
      <c r="D48" s="4"/>
    </row>
    <row r="49" spans="1:4" x14ac:dyDescent="0.2">
      <c r="A49" s="1" t="s">
        <v>33</v>
      </c>
      <c r="B49" s="1"/>
      <c r="C49" s="4">
        <v>38.99</v>
      </c>
      <c r="D49" s="4"/>
    </row>
    <row r="50" spans="1:4" x14ac:dyDescent="0.2">
      <c r="A50" s="1"/>
      <c r="B50" s="1"/>
      <c r="C50" s="1"/>
      <c r="D50" s="1"/>
    </row>
    <row r="51" spans="1:4" x14ac:dyDescent="0.2">
      <c r="A51" s="3" t="s">
        <v>34</v>
      </c>
      <c r="B51" s="3"/>
      <c r="C51" s="3">
        <f>C6+C10+C21+C23+C24+C26++C25+C32+C34+C39+C41+C42+C43+C44+C45+C46+C47+C48+C49</f>
        <v>542.63</v>
      </c>
      <c r="D51" s="3"/>
    </row>
    <row r="52" spans="1:4" x14ac:dyDescent="0.2">
      <c r="A52" s="3"/>
      <c r="B52" s="3"/>
      <c r="C52" s="3"/>
      <c r="D52" s="3"/>
    </row>
  </sheetData>
  <mergeCells count="99">
    <mergeCell ref="A51:B52"/>
    <mergeCell ref="C51:D52"/>
    <mergeCell ref="A48:B48"/>
    <mergeCell ref="A49:B49"/>
    <mergeCell ref="A50:B50"/>
    <mergeCell ref="C46:D46"/>
    <mergeCell ref="C47:D47"/>
    <mergeCell ref="C48:D48"/>
    <mergeCell ref="C49:D49"/>
    <mergeCell ref="C50:D50"/>
    <mergeCell ref="A45:B45"/>
    <mergeCell ref="C43:D43"/>
    <mergeCell ref="C44:D44"/>
    <mergeCell ref="C45:D45"/>
    <mergeCell ref="A46:B46"/>
    <mergeCell ref="A47:B47"/>
    <mergeCell ref="A41:B41"/>
    <mergeCell ref="C41:D41"/>
    <mergeCell ref="A42:B42"/>
    <mergeCell ref="C42:D42"/>
    <mergeCell ref="A43:B43"/>
    <mergeCell ref="A44:B44"/>
    <mergeCell ref="A38:B38"/>
    <mergeCell ref="A39:B39"/>
    <mergeCell ref="C38:D38"/>
    <mergeCell ref="C39:D39"/>
    <mergeCell ref="A40:B40"/>
    <mergeCell ref="C40:D40"/>
    <mergeCell ref="A35:B35"/>
    <mergeCell ref="C35:D35"/>
    <mergeCell ref="A36:B36"/>
    <mergeCell ref="C36:D36"/>
    <mergeCell ref="A37:B37"/>
    <mergeCell ref="C37:D37"/>
    <mergeCell ref="A33:B33"/>
    <mergeCell ref="C33:D33"/>
    <mergeCell ref="C34:D34"/>
    <mergeCell ref="C32:D32"/>
    <mergeCell ref="A34:B34"/>
    <mergeCell ref="A32:B32"/>
    <mergeCell ref="A29:B29"/>
    <mergeCell ref="A30:B30"/>
    <mergeCell ref="C29:D29"/>
    <mergeCell ref="C30:D30"/>
    <mergeCell ref="A31:B31"/>
    <mergeCell ref="C31:D31"/>
    <mergeCell ref="A28:B28"/>
    <mergeCell ref="C25:D25"/>
    <mergeCell ref="C26:D26"/>
    <mergeCell ref="C28:D28"/>
    <mergeCell ref="A20:B20"/>
    <mergeCell ref="C20:D20"/>
    <mergeCell ref="A22:B22"/>
    <mergeCell ref="A27:B27"/>
    <mergeCell ref="C27:D27"/>
    <mergeCell ref="A23:B23"/>
    <mergeCell ref="C23:D23"/>
    <mergeCell ref="A24:B24"/>
    <mergeCell ref="C24:D24"/>
    <mergeCell ref="A25:B25"/>
    <mergeCell ref="A26:B26"/>
    <mergeCell ref="A16:B16"/>
    <mergeCell ref="C16:D16"/>
    <mergeCell ref="A17:B17"/>
    <mergeCell ref="A18:B18"/>
    <mergeCell ref="A19:B19"/>
    <mergeCell ref="A21:B21"/>
    <mergeCell ref="C17:D17"/>
    <mergeCell ref="C18:D18"/>
    <mergeCell ref="C19:D19"/>
    <mergeCell ref="C21:D21"/>
    <mergeCell ref="A13:B13"/>
    <mergeCell ref="A14:B14"/>
    <mergeCell ref="A15:B15"/>
    <mergeCell ref="C13:D13"/>
    <mergeCell ref="C14:D14"/>
    <mergeCell ref="C15:D15"/>
    <mergeCell ref="C9:D9"/>
    <mergeCell ref="A10:B10"/>
    <mergeCell ref="A9:B9"/>
    <mergeCell ref="C10:D10"/>
    <mergeCell ref="A12:B12"/>
    <mergeCell ref="C12:D12"/>
    <mergeCell ref="C11:D11"/>
    <mergeCell ref="A11:B11"/>
    <mergeCell ref="A5:B5"/>
    <mergeCell ref="C5:D5"/>
    <mergeCell ref="A6:B6"/>
    <mergeCell ref="C6:D6"/>
    <mergeCell ref="A8:B8"/>
    <mergeCell ref="C8:D8"/>
    <mergeCell ref="C7:D7"/>
    <mergeCell ref="A7:B7"/>
    <mergeCell ref="A1:B2"/>
    <mergeCell ref="C1:D2"/>
    <mergeCell ref="A3:B3"/>
    <mergeCell ref="C3:D3"/>
    <mergeCell ref="A4:B4"/>
    <mergeCell ref="C4:D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梓文 廖</dc:creator>
  <cp:lastModifiedBy>梓文 廖</cp:lastModifiedBy>
  <dcterms:created xsi:type="dcterms:W3CDTF">2026-05-10T17:26:01Z</dcterms:created>
  <dcterms:modified xsi:type="dcterms:W3CDTF">2026-05-10T17:46:26Z</dcterms:modified>
</cp:coreProperties>
</file>